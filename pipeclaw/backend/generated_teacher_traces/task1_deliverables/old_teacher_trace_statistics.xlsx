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GGABALLS\Documents\Forecast_Grounded_Decision_QA\pipeclaw\backend\generated_teacher_traces\task1_deliverables\"/>
    </mc:Choice>
  </mc:AlternateContent>
  <xr:revisionPtr revIDLastSave="0" documentId="13_ncr:1_{76A6D7BF-3357-4110-A9BF-48ED35B41C2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Overview" sheetId="1" r:id="rId1"/>
    <sheet name="Dataset Sources" sheetId="2" r:id="rId2"/>
    <sheet name="Constraint Types" sheetId="5" r:id="rId3"/>
    <sheet name="Constraint Outcomes" sheetId="6" r:id="rId4"/>
    <sheet name="Rule Outcomes" sheetId="7" r:id="rId5"/>
    <sheet name="Split Statistics" sheetId="11" r:id="rId6"/>
    <sheet name="Quality Statistics" sheetId="13" r:id="rId7"/>
  </sheets>
  <definedNames>
    <definedName name="_xlnm.Print_Titles" localSheetId="3">'Constraint Outcomes'!$1:$1</definedName>
    <definedName name="_xlnm.Print_Titles" localSheetId="2">'Constraint Types'!$1:$1</definedName>
    <definedName name="_xlnm.Print_Titles" localSheetId="1">'Dataset Sources'!$1:$1</definedName>
    <definedName name="_xlnm.Print_Titles" localSheetId="6">'Quality Statistics'!$1:$1</definedName>
    <definedName name="_xlnm.Print_Titles" localSheetId="4">'Rule Outcomes'!$1:$1</definedName>
    <definedName name="_xlnm.Print_Titles" localSheetId="5">'Split Statistics'!$1:$1</definedName>
  </definedNames>
  <calcPr calcId="0"/>
</workbook>
</file>

<file path=xl/sharedStrings.xml><?xml version="1.0" encoding="utf-8"?>
<sst xmlns="http://schemas.openxmlformats.org/spreadsheetml/2006/main" count="121" uniqueCount="95">
  <si>
    <t>Task 1 Teacher Trace Data Statistics</t>
  </si>
  <si>
    <t>Total samples</t>
  </si>
  <si>
    <t>Dataset sources</t>
  </si>
  <si>
    <t>Scenarios</t>
  </si>
  <si>
    <t>Sessions</t>
  </si>
  <si>
    <t>SFT-eligible samples</t>
  </si>
  <si>
    <t>SFT-eligible rate</t>
  </si>
  <si>
    <t>Native quality pass rate</t>
  </si>
  <si>
    <t>Task 1 quality pass rate</t>
  </si>
  <si>
    <t>Average evidence items</t>
  </si>
  <si>
    <t>Median evidence items</t>
  </si>
  <si>
    <t>Average final-answer characters</t>
  </si>
  <si>
    <t>Average tool calls</t>
  </si>
  <si>
    <t>Records with constraint verification</t>
  </si>
  <si>
    <t>Records with warning/fail constraints</t>
  </si>
  <si>
    <t>metric</t>
  </si>
  <si>
    <t>Pipeline_Full_Life_Cycle_Test_Dataset-v4</t>
  </si>
  <si>
    <t>Pipeline_Full_Life_Cycle_Test_Dataset-v7</t>
  </si>
  <si>
    <t>pipeclaw_dataset_v2</t>
  </si>
  <si>
    <t>sample_count</t>
  </si>
  <si>
    <t>percentage</t>
  </si>
  <si>
    <t>scenario_count</t>
  </si>
  <si>
    <t>session_count</t>
  </si>
  <si>
    <t>openclaw</t>
  </si>
  <si>
    <t>pipeformer</t>
  </si>
  <si>
    <t>train</t>
  </si>
  <si>
    <t>valid</t>
  </si>
  <si>
    <t>test</t>
  </si>
  <si>
    <t>quality_pass</t>
  </si>
  <si>
    <t>needs_review</t>
  </si>
  <si>
    <t>quality_pass_rate</t>
  </si>
  <si>
    <t>average_evidence_items</t>
  </si>
  <si>
    <t>median_evidence_items</t>
  </si>
  <si>
    <t>p95_evidence_items</t>
  </si>
  <si>
    <t>average_answer_chars</t>
  </si>
  <si>
    <t>average_tool_calls</t>
  </si>
  <si>
    <t>count</t>
  </si>
  <si>
    <t>constraint_type</t>
  </si>
  <si>
    <t>abnormality_warning</t>
  </si>
  <si>
    <t>compressor</t>
  </si>
  <si>
    <t>dispatch_priority</t>
  </si>
  <si>
    <t>equipment_regulation</t>
  </si>
  <si>
    <t>flow</t>
  </si>
  <si>
    <t>human_intervention</t>
  </si>
  <si>
    <t>linepack</t>
  </si>
  <si>
    <t>pressure</t>
  </si>
  <si>
    <t>constraint_category</t>
  </si>
  <si>
    <t>requested</t>
  </si>
  <si>
    <t>evaluated</t>
  </si>
  <si>
    <t>pass</t>
  </si>
  <si>
    <t>warning</t>
  </si>
  <si>
    <t>fail</t>
  </si>
  <si>
    <t>not_evaluated_or_missing</t>
  </si>
  <si>
    <t>coverage_rate</t>
  </si>
  <si>
    <t>pass_rate</t>
  </si>
  <si>
    <t>non_pass_rate</t>
  </si>
  <si>
    <t>rule_id</t>
  </si>
  <si>
    <t>abnormal_pressure_drop</t>
  </si>
  <si>
    <t>boundary_control_adjustment_magnitude</t>
  </si>
  <si>
    <t>boundary_flow_change_rate</t>
  </si>
  <si>
    <t>compressor_load_limit</t>
  </si>
  <si>
    <t>compressor_power_change</t>
  </si>
  <si>
    <t>compressor_ratio_boundary</t>
  </si>
  <si>
    <t>compressor_rotational_speed_limit</t>
  </si>
  <si>
    <t>dispatch_priority_rules</t>
  </si>
  <si>
    <t>energy_consumption_cost</t>
  </si>
  <si>
    <t>equipment_anomaly</t>
  </si>
  <si>
    <t>flow_capacity_check</t>
  </si>
  <si>
    <t>flow_ramp_check</t>
  </si>
  <si>
    <t>human_intervention_rules</t>
  </si>
  <si>
    <t>key_node_pressure_margin</t>
  </si>
  <si>
    <t>linepack_change_rate</t>
  </si>
  <si>
    <t>linepack_decline_and_recovery</t>
  </si>
  <si>
    <t>linepack_peak_shaving_reserve</t>
  </si>
  <si>
    <t>node_pressure_operating_window</t>
  </si>
  <si>
    <t>potential_leak_signal</t>
  </si>
  <si>
    <t>pressure_regulator_range</t>
  </si>
  <si>
    <t>sudden_flow_change</t>
  </si>
  <si>
    <t>supply_demand_balance</t>
  </si>
  <si>
    <t>valve_opening_range</t>
  </si>
  <si>
    <t>not_applicable</t>
  </si>
  <si>
    <t>split</t>
  </si>
  <si>
    <t>master_samples</t>
  </si>
  <si>
    <t>sft_eligible</t>
  </si>
  <si>
    <t>sft_eligible_rate</t>
  </si>
  <si>
    <t>quality_dimension</t>
  </si>
  <si>
    <t>fail_or_needs_review</t>
  </si>
  <si>
    <t>applicable_count</t>
  </si>
  <si>
    <t>applicable_pass_rate</t>
  </si>
  <si>
    <t>schema</t>
  </si>
  <si>
    <t>numerical_consistency</t>
  </si>
  <si>
    <t>rule_consistency</t>
  </si>
  <si>
    <t>dispatch_consistency</t>
  </si>
  <si>
    <t>native_quality</t>
  </si>
  <si>
    <t>task1_quality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</si>
</sst>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"/>
      <color rgb="FF17365D"/>
      <name val="Arial"/>
    </font>
    <font>
      <sz val="10"/>
      <color rgb="FF1F1F1F"/>
      <name val="Arial"/>
    </font>
    <font>
      <b/>
      <sz val="10"/>
      <color rgb="FF9C0006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color rgb="FFFFFFFF"/>
      <name val="Arial"/>
    </font>
    <font>
      <b/>
      <sz val="10"/>
      <color rgb="FF1F1F1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8FBFD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1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vertical="center" wrapText="1"/>
    </xf>
    <xf numFmtId="164" fontId="6" fillId="9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Table02" displayName="AuditTable02" ref="A1:D18">
  <autoFilter ref="A1:D18" xr:uid="{00000000-0009-0000-0100-000001000000}"/>
  <tableColumns count="4">
    <tableColumn id="1" xr3:uid="{00000000-0010-0000-0000-000001000000}" name="metric" dataDxfId="40"/>
    <tableColumn id="2" xr3:uid="{00000000-0010-0000-0000-000002000000}" name="Pipeline_Full_Life_Cycle_Test_Dataset-v4" dataDxfId="39"/>
    <tableColumn id="3" xr3:uid="{00000000-0010-0000-0000-000003000000}" name="Pipeline_Full_Life_Cycle_Test_Dataset-v7" dataDxfId="38"/>
    <tableColumn id="4" xr3:uid="{00000000-0010-0000-0000-000004000000}" name="pipeclaw_dataset_v2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ditTable05" displayName="AuditTable05" ref="A1:C9">
  <autoFilter ref="A1:C9" xr:uid="{00000000-0009-0000-0100-000004000000}"/>
  <tableColumns count="3">
    <tableColumn id="1" xr3:uid="{00000000-0010-0000-0300-000001000000}" name="constraint_type" dataDxfId="36"/>
    <tableColumn id="2" xr3:uid="{00000000-0010-0000-0300-000002000000}" name="count" dataDxfId="35"/>
    <tableColumn id="3" xr3:uid="{00000000-0010-0000-0300-000003000000}" name="percentage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uditTable06" displayName="AuditTable06" ref="A1:J9">
  <autoFilter ref="A1:J9" xr:uid="{00000000-0009-0000-0100-000005000000}"/>
  <tableColumns count="10">
    <tableColumn id="1" xr3:uid="{00000000-0010-0000-0400-000001000000}" name="constraint_category" dataDxfId="33"/>
    <tableColumn id="2" xr3:uid="{00000000-0010-0000-0400-000002000000}" name="requested" dataDxfId="32"/>
    <tableColumn id="3" xr3:uid="{00000000-0010-0000-0400-000003000000}" name="evaluated" dataDxfId="31"/>
    <tableColumn id="4" xr3:uid="{00000000-0010-0000-0400-000004000000}" name="pass" dataDxfId="30"/>
    <tableColumn id="5" xr3:uid="{00000000-0010-0000-0400-000005000000}" name="warning" dataDxfId="29"/>
    <tableColumn id="6" xr3:uid="{00000000-0010-0000-0400-000006000000}" name="fail" dataDxfId="28"/>
    <tableColumn id="7" xr3:uid="{00000000-0010-0000-0400-000007000000}" name="not_evaluated_or_missing" dataDxfId="27"/>
    <tableColumn id="8" xr3:uid="{00000000-0010-0000-0400-000008000000}" name="coverage_rate" dataDxfId="26"/>
    <tableColumn id="9" xr3:uid="{00000000-0010-0000-0400-000009000000}" name="pass_rate" dataDxfId="25"/>
    <tableColumn id="10" xr3:uid="{00000000-0010-0000-0400-00000A000000}" name="non_pass_rate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uditTable07" displayName="AuditTable07" ref="A1:H24">
  <autoFilter ref="A1:H24" xr:uid="{00000000-0009-0000-0100-000006000000}"/>
  <tableColumns count="8">
    <tableColumn id="1" xr3:uid="{00000000-0010-0000-0500-000001000000}" name="rule_id" dataDxfId="23"/>
    <tableColumn id="2" xr3:uid="{00000000-0010-0000-0500-000002000000}" name="evaluated" dataDxfId="22"/>
    <tableColumn id="3" xr3:uid="{00000000-0010-0000-0500-000003000000}" name="pass" dataDxfId="21"/>
    <tableColumn id="4" xr3:uid="{00000000-0010-0000-0500-000004000000}" name="warning" dataDxfId="20"/>
    <tableColumn id="5" xr3:uid="{00000000-0010-0000-0500-000005000000}" name="fail" dataDxfId="19"/>
    <tableColumn id="6" xr3:uid="{00000000-0010-0000-0500-000006000000}" name="not_evaluated_or_missing" dataDxfId="18"/>
    <tableColumn id="7" xr3:uid="{00000000-0010-0000-0500-000007000000}" name="pass_rate" dataDxfId="17"/>
    <tableColumn id="8" xr3:uid="{00000000-0010-0000-0500-000008000000}" name="non_pass_rat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able11" displayName="AuditTable11" ref="A1:J4">
  <autoFilter ref="A1:J4" xr:uid="{00000000-0009-0000-0100-00000A000000}"/>
  <tableColumns count="10">
    <tableColumn id="1" xr3:uid="{00000000-0010-0000-0900-000001000000}" name="split" dataDxfId="15"/>
    <tableColumn id="2" xr3:uid="{00000000-0010-0000-0900-000002000000}" name="master_samples" dataDxfId="14"/>
    <tableColumn id="3" xr3:uid="{00000000-0010-0000-0900-000003000000}" name="scenario_count" dataDxfId="13"/>
    <tableColumn id="4" xr3:uid="{00000000-0010-0000-0900-000004000000}" name="session_count" dataDxfId="12"/>
    <tableColumn id="5" xr3:uid="{00000000-0010-0000-0900-000005000000}" name="quality_pass" dataDxfId="11"/>
    <tableColumn id="6" xr3:uid="{00000000-0010-0000-0900-000006000000}" name="needs_review" dataDxfId="10"/>
    <tableColumn id="7" xr3:uid="{00000000-0010-0000-0900-000007000000}" name="sft_eligible" dataDxfId="9"/>
    <tableColumn id="8" xr3:uid="{00000000-0010-0000-0900-000008000000}" name="sft_eligible_rate" dataDxfId="8"/>
    <tableColumn id="9" xr3:uid="{00000000-0010-0000-0900-000009000000}" name="average_evidence_items" dataDxfId="7"/>
    <tableColumn id="10" xr3:uid="{00000000-0010-0000-0900-00000A000000}" name="average_answer_char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uditTable13" displayName="AuditTable13" ref="A1:F7">
  <autoFilter ref="A1:F7" xr:uid="{00000000-0009-0000-0100-00000C000000}"/>
  <tableColumns count="6">
    <tableColumn id="1" xr3:uid="{00000000-0010-0000-0B00-000001000000}" name="quality_dimension" dataDxfId="5"/>
    <tableColumn id="2" xr3:uid="{00000000-0010-0000-0B00-000002000000}" name="pass" dataDxfId="4"/>
    <tableColumn id="3" xr3:uid="{00000000-0010-0000-0B00-000003000000}" name="fail_or_needs_review" dataDxfId="3"/>
    <tableColumn id="4" xr3:uid="{00000000-0010-0000-0B00-000004000000}" name="not_applicable" dataDxfId="2"/>
    <tableColumn id="5" xr3:uid="{00000000-0010-0000-0B00-000005000000}" name="applicable_count" dataDxfId="1"/>
    <tableColumn id="6" xr3:uid="{00000000-0010-0000-0B00-000006000000}" name="applicable_pass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B15"/>
  <sheetViews>
    <sheetView showGridLines="0" tabSelected="1" zoomScale="95" workbookViewId="0">
      <pane ySplit="1" topLeftCell="A2" activePane="bottomLeft" state="frozen"/>
      <selection pane="bottomLeft" activeCell="C10" sqref="C10"/>
    </sheetView>
  </sheetViews>
  <sheetFormatPr defaultRowHeight="14.25" x14ac:dyDescent="0.45"/>
  <cols>
    <col min="1" max="1" width="40" customWidth="1"/>
    <col min="2" max="2" width="78" customWidth="1"/>
  </cols>
  <sheetData>
    <row r="1" spans="1:2" ht="34.049999999999997" customHeight="1" x14ac:dyDescent="0.45">
      <c r="A1" s="7" t="s">
        <v>0</v>
      </c>
      <c r="B1" s="7"/>
    </row>
    <row r="2" spans="1:2" ht="22.05" customHeight="1" x14ac:dyDescent="0.45">
      <c r="A2" s="8" t="s">
        <v>1</v>
      </c>
      <c r="B2" s="11">
        <v>1140</v>
      </c>
    </row>
    <row r="3" spans="1:2" ht="22.05" customHeight="1" x14ac:dyDescent="0.45">
      <c r="A3" s="9" t="s">
        <v>2</v>
      </c>
      <c r="B3" s="10">
        <v>3</v>
      </c>
    </row>
    <row r="4" spans="1:2" ht="22.05" customHeight="1" x14ac:dyDescent="0.45">
      <c r="A4" s="8" t="s">
        <v>3</v>
      </c>
      <c r="B4" s="11">
        <v>80</v>
      </c>
    </row>
    <row r="5" spans="1:2" ht="22.05" customHeight="1" x14ac:dyDescent="0.45">
      <c r="A5" s="9" t="s">
        <v>4</v>
      </c>
      <c r="B5" s="10">
        <v>280</v>
      </c>
    </row>
    <row r="6" spans="1:2" ht="22.05" customHeight="1" x14ac:dyDescent="0.45">
      <c r="A6" s="8" t="s">
        <v>5</v>
      </c>
      <c r="B6" s="11">
        <v>806</v>
      </c>
    </row>
    <row r="7" spans="1:2" ht="22.05" customHeight="1" x14ac:dyDescent="0.45">
      <c r="A7" s="9" t="s">
        <v>6</v>
      </c>
      <c r="B7" s="12">
        <v>0.7070175438596491</v>
      </c>
    </row>
    <row r="8" spans="1:2" ht="22.05" customHeight="1" x14ac:dyDescent="0.45">
      <c r="A8" s="8" t="s">
        <v>7</v>
      </c>
      <c r="B8" s="13">
        <v>0.95175399999999999</v>
      </c>
    </row>
    <row r="9" spans="1:2" ht="22.05" customHeight="1" x14ac:dyDescent="0.45">
      <c r="A9" s="9" t="s">
        <v>8</v>
      </c>
      <c r="B9" s="14">
        <v>0.88771900000000004</v>
      </c>
    </row>
    <row r="10" spans="1:2" ht="22.05" customHeight="1" x14ac:dyDescent="0.45">
      <c r="A10" s="8" t="s">
        <v>9</v>
      </c>
      <c r="B10" s="11">
        <v>6.4087719298245611</v>
      </c>
    </row>
    <row r="11" spans="1:2" ht="22.05" customHeight="1" x14ac:dyDescent="0.45">
      <c r="A11" s="9" t="s">
        <v>10</v>
      </c>
      <c r="B11" s="10">
        <v>0</v>
      </c>
    </row>
    <row r="12" spans="1:2" ht="22.05" customHeight="1" x14ac:dyDescent="0.45">
      <c r="A12" s="8" t="s">
        <v>11</v>
      </c>
      <c r="B12" s="11">
        <v>153.51403508771929</v>
      </c>
    </row>
    <row r="13" spans="1:2" ht="22.05" customHeight="1" x14ac:dyDescent="0.45">
      <c r="A13" s="9" t="s">
        <v>12</v>
      </c>
      <c r="B13" s="10">
        <v>0.60438596491228069</v>
      </c>
    </row>
    <row r="14" spans="1:2" ht="22.05" customHeight="1" x14ac:dyDescent="0.45">
      <c r="A14" s="8" t="s">
        <v>13</v>
      </c>
      <c r="B14" s="11">
        <v>148</v>
      </c>
    </row>
    <row r="15" spans="1:2" ht="22.05" customHeight="1" x14ac:dyDescent="0.45">
      <c r="A15" s="9" t="s">
        <v>14</v>
      </c>
      <c r="B15" s="10">
        <v>68</v>
      </c>
    </row>
  </sheetData>
  <mergeCells count="1">
    <mergeCell ref="A1:B1"/>
  </mergeCells>
  <pageMargins left="0.25" right="0.25" top="0.5" bottom="0.5" header="0.5" footer="0.5"/>
  <pageSetup fitToHeight="0" orientation="portrait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D18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I11" sqref="I11"/>
    </sheetView>
  </sheetViews>
  <sheetFormatPr defaultRowHeight="14.25" x14ac:dyDescent="0.45"/>
  <cols>
    <col min="1" max="1" width="24" customWidth="1"/>
    <col min="2" max="3" width="36" customWidth="1"/>
    <col min="4" max="4" width="21" customWidth="1"/>
  </cols>
  <sheetData>
    <row r="1" spans="1:4" ht="34.049999999999997" customHeight="1" x14ac:dyDescent="0.45">
      <c r="A1" s="1" t="s">
        <v>15</v>
      </c>
      <c r="B1" s="1" t="s">
        <v>16</v>
      </c>
      <c r="C1" s="1" t="s">
        <v>17</v>
      </c>
      <c r="D1" s="1" t="s">
        <v>18</v>
      </c>
    </row>
    <row r="2" spans="1:4" ht="20" customHeight="1" x14ac:dyDescent="0.45">
      <c r="A2" s="5" t="s">
        <v>19</v>
      </c>
      <c r="B2" s="3">
        <v>500</v>
      </c>
      <c r="C2" s="3">
        <v>40</v>
      </c>
      <c r="D2" s="3">
        <v>600</v>
      </c>
    </row>
    <row r="3" spans="1:4" ht="20" customHeight="1" x14ac:dyDescent="0.45">
      <c r="A3" s="5" t="s">
        <v>20</v>
      </c>
      <c r="B3" s="4">
        <v>0.43859649122807021</v>
      </c>
      <c r="C3" s="4">
        <v>3.5087719298245612E-2</v>
      </c>
      <c r="D3" s="4">
        <v>0.52631578947368418</v>
      </c>
    </row>
    <row r="4" spans="1:4" ht="20" customHeight="1" x14ac:dyDescent="0.45">
      <c r="A4" s="5" t="s">
        <v>21</v>
      </c>
      <c r="B4" s="3">
        <v>70</v>
      </c>
      <c r="C4" s="3">
        <v>40</v>
      </c>
      <c r="D4" s="3">
        <v>40</v>
      </c>
    </row>
    <row r="5" spans="1:4" ht="20" customHeight="1" x14ac:dyDescent="0.45">
      <c r="A5" s="5" t="s">
        <v>22</v>
      </c>
      <c r="B5" s="3">
        <v>200</v>
      </c>
      <c r="C5" s="3">
        <v>40</v>
      </c>
      <c r="D5" s="3">
        <v>200</v>
      </c>
    </row>
    <row r="6" spans="1:4" ht="20" customHeight="1" x14ac:dyDescent="0.45">
      <c r="A6" s="5" t="s">
        <v>23</v>
      </c>
      <c r="B6" s="3">
        <v>300</v>
      </c>
      <c r="C6" s="3">
        <v>0</v>
      </c>
      <c r="D6" s="3">
        <v>600</v>
      </c>
    </row>
    <row r="7" spans="1:4" ht="20" customHeight="1" x14ac:dyDescent="0.45">
      <c r="A7" s="5" t="s">
        <v>24</v>
      </c>
      <c r="B7" s="3">
        <v>200</v>
      </c>
      <c r="C7" s="3">
        <v>40</v>
      </c>
      <c r="D7" s="3">
        <v>0</v>
      </c>
    </row>
    <row r="8" spans="1:4" ht="20" customHeight="1" x14ac:dyDescent="0.45">
      <c r="A8" s="5" t="s">
        <v>25</v>
      </c>
      <c r="B8" s="3">
        <v>390</v>
      </c>
      <c r="C8" s="3">
        <v>32</v>
      </c>
      <c r="D8" s="3">
        <v>480</v>
      </c>
    </row>
    <row r="9" spans="1:4" ht="20" customHeight="1" x14ac:dyDescent="0.45">
      <c r="A9" s="5" t="s">
        <v>26</v>
      </c>
      <c r="B9" s="3">
        <v>60</v>
      </c>
      <c r="C9" s="3">
        <v>4</v>
      </c>
      <c r="D9" s="3">
        <v>60</v>
      </c>
    </row>
    <row r="10" spans="1:4" ht="20" customHeight="1" x14ac:dyDescent="0.45">
      <c r="A10" s="5" t="s">
        <v>27</v>
      </c>
      <c r="B10" s="3">
        <v>50</v>
      </c>
      <c r="C10" s="3">
        <v>4</v>
      </c>
      <c r="D10" s="3">
        <v>60</v>
      </c>
    </row>
    <row r="11" spans="1:4" ht="20" customHeight="1" x14ac:dyDescent="0.45">
      <c r="A11" s="5" t="s">
        <v>28</v>
      </c>
      <c r="B11" s="3">
        <v>444</v>
      </c>
      <c r="C11" s="3">
        <v>35</v>
      </c>
      <c r="D11" s="3">
        <v>533</v>
      </c>
    </row>
    <row r="12" spans="1:4" ht="20" customHeight="1" x14ac:dyDescent="0.45">
      <c r="A12" s="6" t="s">
        <v>29</v>
      </c>
      <c r="B12" s="3">
        <v>56</v>
      </c>
      <c r="C12" s="3">
        <v>5</v>
      </c>
      <c r="D12" s="3">
        <v>67</v>
      </c>
    </row>
    <row r="13" spans="1:4" ht="20" customHeight="1" x14ac:dyDescent="0.45">
      <c r="A13" s="5" t="s">
        <v>30</v>
      </c>
      <c r="B13" s="4">
        <v>0.88800000000000001</v>
      </c>
      <c r="C13" s="4">
        <v>0.875</v>
      </c>
      <c r="D13" s="4">
        <v>0.88833333333333331</v>
      </c>
    </row>
    <row r="14" spans="1:4" ht="20" customHeight="1" x14ac:dyDescent="0.45">
      <c r="A14" s="5" t="s">
        <v>31</v>
      </c>
      <c r="B14" s="3">
        <v>8.3979999999999997</v>
      </c>
      <c r="C14" s="3">
        <v>37.700000000000003</v>
      </c>
      <c r="D14" s="3">
        <v>2.665</v>
      </c>
    </row>
    <row r="15" spans="1:4" ht="20" customHeight="1" x14ac:dyDescent="0.45">
      <c r="A15" s="5" t="s">
        <v>32</v>
      </c>
      <c r="B15" s="3">
        <v>0</v>
      </c>
      <c r="C15" s="3">
        <v>38.5</v>
      </c>
      <c r="D15" s="3">
        <v>0</v>
      </c>
    </row>
    <row r="16" spans="1:4" ht="20" customHeight="1" x14ac:dyDescent="0.45">
      <c r="A16" s="5" t="s">
        <v>33</v>
      </c>
      <c r="B16" s="3">
        <v>43</v>
      </c>
      <c r="C16" s="3">
        <v>62.05</v>
      </c>
      <c r="D16" s="3">
        <v>23</v>
      </c>
    </row>
    <row r="17" spans="1:4" ht="20" customHeight="1" x14ac:dyDescent="0.45">
      <c r="A17" s="5" t="s">
        <v>34</v>
      </c>
      <c r="B17" s="3">
        <v>209.69399999999999</v>
      </c>
      <c r="C17" s="3">
        <v>379.77499999999998</v>
      </c>
      <c r="D17" s="3">
        <v>91.61333333333333</v>
      </c>
    </row>
    <row r="18" spans="1:4" ht="20" customHeight="1" x14ac:dyDescent="0.45">
      <c r="A18" s="5" t="s">
        <v>35</v>
      </c>
      <c r="B18" s="3">
        <v>0.83199999999999996</v>
      </c>
      <c r="C18" s="3">
        <v>3.75</v>
      </c>
      <c r="D18" s="3">
        <v>0.20499999999999999</v>
      </c>
    </row>
  </sheetData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C9"/>
  <sheetViews>
    <sheetView showGridLines="0" zoomScale="85" workbookViewId="0">
      <pane ySplit="1" topLeftCell="A2" activePane="bottomLeft" state="frozen"/>
      <selection pane="bottomLeft" activeCell="H15" sqref="H15"/>
    </sheetView>
  </sheetViews>
  <sheetFormatPr defaultRowHeight="14.25" x14ac:dyDescent="0.45"/>
  <cols>
    <col min="1" max="1" width="22" customWidth="1"/>
    <col min="2" max="2" width="12" customWidth="1"/>
    <col min="3" max="3" width="21" customWidth="1"/>
  </cols>
  <sheetData>
    <row r="1" spans="1:3" ht="34.049999999999997" customHeight="1" x14ac:dyDescent="0.45">
      <c r="A1" s="1" t="s">
        <v>37</v>
      </c>
      <c r="B1" s="1" t="s">
        <v>36</v>
      </c>
      <c r="C1" s="1" t="s">
        <v>20</v>
      </c>
    </row>
    <row r="2" spans="1:3" ht="20" customHeight="1" x14ac:dyDescent="0.45">
      <c r="A2" s="2" t="s">
        <v>38</v>
      </c>
      <c r="B2" s="3">
        <v>96</v>
      </c>
      <c r="C2" s="4">
        <v>0.1241914618369987</v>
      </c>
    </row>
    <row r="3" spans="1:3" ht="20" customHeight="1" x14ac:dyDescent="0.45">
      <c r="A3" s="2" t="s">
        <v>39</v>
      </c>
      <c r="B3" s="3">
        <v>97</v>
      </c>
      <c r="C3" s="4">
        <v>0.12548512289780081</v>
      </c>
    </row>
    <row r="4" spans="1:3" ht="20" customHeight="1" x14ac:dyDescent="0.45">
      <c r="A4" s="2" t="s">
        <v>40</v>
      </c>
      <c r="B4" s="3">
        <v>97</v>
      </c>
      <c r="C4" s="4">
        <v>0.12548512289780081</v>
      </c>
    </row>
    <row r="5" spans="1:3" ht="20" customHeight="1" x14ac:dyDescent="0.45">
      <c r="A5" s="2" t="s">
        <v>41</v>
      </c>
      <c r="B5" s="3">
        <v>96</v>
      </c>
      <c r="C5" s="4">
        <v>0.1241914618369987</v>
      </c>
    </row>
    <row r="6" spans="1:3" ht="20" customHeight="1" x14ac:dyDescent="0.45">
      <c r="A6" s="2" t="s">
        <v>42</v>
      </c>
      <c r="B6" s="3">
        <v>96</v>
      </c>
      <c r="C6" s="4">
        <v>0.1241914618369987</v>
      </c>
    </row>
    <row r="7" spans="1:3" ht="20" customHeight="1" x14ac:dyDescent="0.45">
      <c r="A7" s="2" t="s">
        <v>43</v>
      </c>
      <c r="B7" s="3">
        <v>97</v>
      </c>
      <c r="C7" s="4">
        <v>0.12548512289780081</v>
      </c>
    </row>
    <row r="8" spans="1:3" ht="20" customHeight="1" x14ac:dyDescent="0.45">
      <c r="A8" s="2" t="s">
        <v>44</v>
      </c>
      <c r="B8" s="3">
        <v>97</v>
      </c>
      <c r="C8" s="4">
        <v>0.12548512289780081</v>
      </c>
    </row>
    <row r="9" spans="1:3" ht="20" customHeight="1" x14ac:dyDescent="0.45">
      <c r="A9" s="2" t="s">
        <v>45</v>
      </c>
      <c r="B9" s="3">
        <v>97</v>
      </c>
      <c r="C9" s="4">
        <v>0.12548512289780081</v>
      </c>
    </row>
  </sheetData>
  <conditionalFormatting sqref="C2:C9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  <pageSetUpPr fitToPage="1"/>
  </sheetPr>
  <dimension ref="A1:J9"/>
  <sheetViews>
    <sheetView showGridLines="0" zoomScale="85" workbookViewId="0">
      <pane ySplit="1" topLeftCell="A2" activePane="bottomLeft" state="frozen"/>
      <selection pane="bottomLeft" activeCell="F2" sqref="A2:J9"/>
    </sheetView>
  </sheetViews>
  <sheetFormatPr defaultRowHeight="14.25" x14ac:dyDescent="0.45"/>
  <cols>
    <col min="1" max="1" width="22" customWidth="1"/>
    <col min="2" max="6" width="12" customWidth="1"/>
    <col min="7" max="7" width="26" customWidth="1"/>
    <col min="8" max="8" width="15" customWidth="1"/>
    <col min="9" max="10" width="21" customWidth="1"/>
  </cols>
  <sheetData>
    <row r="1" spans="1:10" ht="34.049999999999997" customHeight="1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ht="20" customHeight="1" x14ac:dyDescent="0.45">
      <c r="A2" s="2" t="s">
        <v>38</v>
      </c>
      <c r="B2" s="3">
        <v>96</v>
      </c>
      <c r="C2" s="3">
        <v>96</v>
      </c>
      <c r="D2" s="3">
        <v>96</v>
      </c>
      <c r="E2" s="3">
        <v>0</v>
      </c>
      <c r="F2" s="3">
        <v>0</v>
      </c>
      <c r="G2" s="3">
        <v>0</v>
      </c>
      <c r="H2" s="4">
        <v>1</v>
      </c>
      <c r="I2" s="4">
        <v>1</v>
      </c>
      <c r="J2" s="4">
        <v>0</v>
      </c>
    </row>
    <row r="3" spans="1:10" ht="20" customHeight="1" x14ac:dyDescent="0.45">
      <c r="A3" s="2" t="s">
        <v>39</v>
      </c>
      <c r="B3" s="3">
        <v>97</v>
      </c>
      <c r="C3" s="3">
        <v>97</v>
      </c>
      <c r="D3" s="3">
        <v>97</v>
      </c>
      <c r="E3" s="3">
        <v>0</v>
      </c>
      <c r="F3" s="3">
        <v>0</v>
      </c>
      <c r="G3" s="3">
        <v>0</v>
      </c>
      <c r="H3" s="4">
        <v>1</v>
      </c>
      <c r="I3" s="4">
        <v>1</v>
      </c>
      <c r="J3" s="4">
        <v>0</v>
      </c>
    </row>
    <row r="4" spans="1:10" ht="20" customHeight="1" x14ac:dyDescent="0.45">
      <c r="A4" s="2" t="s">
        <v>40</v>
      </c>
      <c r="B4" s="3">
        <v>97</v>
      </c>
      <c r="C4" s="3">
        <v>97</v>
      </c>
      <c r="D4" s="3">
        <v>97</v>
      </c>
      <c r="E4" s="3">
        <v>0</v>
      </c>
      <c r="F4" s="3">
        <v>0</v>
      </c>
      <c r="G4" s="3">
        <v>0</v>
      </c>
      <c r="H4" s="4">
        <v>1</v>
      </c>
      <c r="I4" s="4">
        <v>1</v>
      </c>
      <c r="J4" s="4">
        <v>0</v>
      </c>
    </row>
    <row r="5" spans="1:10" ht="20" customHeight="1" x14ac:dyDescent="0.45">
      <c r="A5" s="2" t="s">
        <v>41</v>
      </c>
      <c r="B5" s="3">
        <v>96</v>
      </c>
      <c r="C5" s="3">
        <v>96</v>
      </c>
      <c r="D5" s="3">
        <v>41</v>
      </c>
      <c r="E5" s="3">
        <v>42</v>
      </c>
      <c r="F5" s="3">
        <v>13</v>
      </c>
      <c r="G5" s="3">
        <v>0</v>
      </c>
      <c r="H5" s="4">
        <v>1</v>
      </c>
      <c r="I5" s="4">
        <v>0.42708333333333331</v>
      </c>
      <c r="J5" s="4">
        <v>0.57291666666666663</v>
      </c>
    </row>
    <row r="6" spans="1:10" ht="20" customHeight="1" x14ac:dyDescent="0.45">
      <c r="A6" s="2" t="s">
        <v>42</v>
      </c>
      <c r="B6" s="3">
        <v>96</v>
      </c>
      <c r="C6" s="3">
        <v>96</v>
      </c>
      <c r="D6" s="3">
        <v>96</v>
      </c>
      <c r="E6" s="3">
        <v>0</v>
      </c>
      <c r="F6" s="3">
        <v>0</v>
      </c>
      <c r="G6" s="3">
        <v>0</v>
      </c>
      <c r="H6" s="4">
        <v>1</v>
      </c>
      <c r="I6" s="4">
        <v>1</v>
      </c>
      <c r="J6" s="4">
        <v>0</v>
      </c>
    </row>
    <row r="7" spans="1:10" ht="20" customHeight="1" x14ac:dyDescent="0.45">
      <c r="A7" s="2" t="s">
        <v>43</v>
      </c>
      <c r="B7" s="3">
        <v>97</v>
      </c>
      <c r="C7" s="3">
        <v>97</v>
      </c>
      <c r="D7" s="3">
        <v>28</v>
      </c>
      <c r="E7" s="3">
        <v>69</v>
      </c>
      <c r="F7" s="3">
        <v>0</v>
      </c>
      <c r="G7" s="3">
        <v>0</v>
      </c>
      <c r="H7" s="4">
        <v>1</v>
      </c>
      <c r="I7" s="4">
        <v>0.28865979381443302</v>
      </c>
      <c r="J7" s="4">
        <v>0.71134020618556704</v>
      </c>
    </row>
    <row r="8" spans="1:10" ht="20" customHeight="1" x14ac:dyDescent="0.45">
      <c r="A8" s="2" t="s">
        <v>44</v>
      </c>
      <c r="B8" s="3">
        <v>97</v>
      </c>
      <c r="C8" s="3">
        <v>97</v>
      </c>
      <c r="D8" s="3">
        <v>74</v>
      </c>
      <c r="E8" s="3">
        <v>23</v>
      </c>
      <c r="F8" s="3">
        <v>0</v>
      </c>
      <c r="G8" s="3">
        <v>0</v>
      </c>
      <c r="H8" s="4">
        <v>1</v>
      </c>
      <c r="I8" s="4">
        <v>0.76288659793814428</v>
      </c>
      <c r="J8" s="4">
        <v>0.23711340206185569</v>
      </c>
    </row>
    <row r="9" spans="1:10" ht="20" customHeight="1" x14ac:dyDescent="0.45">
      <c r="A9" s="2" t="s">
        <v>45</v>
      </c>
      <c r="B9" s="3">
        <v>97</v>
      </c>
      <c r="C9" s="3">
        <v>97</v>
      </c>
      <c r="D9" s="3">
        <v>97</v>
      </c>
      <c r="E9" s="3">
        <v>0</v>
      </c>
      <c r="F9" s="3">
        <v>0</v>
      </c>
      <c r="G9" s="3">
        <v>0</v>
      </c>
      <c r="H9" s="4">
        <v>1</v>
      </c>
      <c r="I9" s="4">
        <v>1</v>
      </c>
      <c r="J9" s="4">
        <v>0</v>
      </c>
    </row>
  </sheetData>
  <conditionalFormatting sqref="H2:H9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I2:I9">
    <cfRule type="colorScale" priority="2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J2:J9">
    <cfRule type="colorScale" priority="3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landscape"/>
  <headerFoot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H24"/>
  <sheetViews>
    <sheetView showGridLines="0" zoomScale="85" workbookViewId="0">
      <pane ySplit="1" topLeftCell="A2" activePane="bottomLeft" state="frozen"/>
      <selection pane="bottomLeft" activeCell="E10" sqref="A2:H24"/>
    </sheetView>
  </sheetViews>
  <sheetFormatPr defaultRowHeight="14.25" x14ac:dyDescent="0.45"/>
  <cols>
    <col min="1" max="1" width="36" customWidth="1"/>
    <col min="2" max="5" width="12" customWidth="1"/>
    <col min="6" max="6" width="26" customWidth="1"/>
    <col min="7" max="8" width="21" customWidth="1"/>
  </cols>
  <sheetData>
    <row r="1" spans="1:8" ht="34.049999999999997" customHeight="1" x14ac:dyDescent="0.45">
      <c r="A1" s="1" t="s">
        <v>56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54</v>
      </c>
      <c r="H1" s="1" t="s">
        <v>55</v>
      </c>
    </row>
    <row r="2" spans="1:8" ht="20" customHeight="1" x14ac:dyDescent="0.45">
      <c r="A2" s="2" t="s">
        <v>57</v>
      </c>
      <c r="B2" s="3">
        <v>96</v>
      </c>
      <c r="C2" s="3">
        <v>96</v>
      </c>
      <c r="D2" s="3">
        <v>0</v>
      </c>
      <c r="E2" s="3">
        <v>0</v>
      </c>
      <c r="F2" s="3">
        <v>0</v>
      </c>
      <c r="G2" s="4">
        <v>1</v>
      </c>
      <c r="H2" s="4">
        <v>0</v>
      </c>
    </row>
    <row r="3" spans="1:8" ht="20" customHeight="1" x14ac:dyDescent="0.45">
      <c r="A3" s="2" t="s">
        <v>58</v>
      </c>
      <c r="B3" s="3">
        <v>95</v>
      </c>
      <c r="C3" s="3">
        <v>40</v>
      </c>
      <c r="D3" s="3">
        <v>42</v>
      </c>
      <c r="E3" s="3">
        <v>13</v>
      </c>
      <c r="F3" s="3">
        <v>1</v>
      </c>
      <c r="G3" s="4">
        <v>0.42105263157894729</v>
      </c>
      <c r="H3" s="4">
        <v>0.57894736842105265</v>
      </c>
    </row>
    <row r="4" spans="1:8" ht="20" customHeight="1" x14ac:dyDescent="0.45">
      <c r="A4" s="2" t="s">
        <v>59</v>
      </c>
      <c r="B4" s="3">
        <v>96</v>
      </c>
      <c r="C4" s="3">
        <v>96</v>
      </c>
      <c r="D4" s="3">
        <v>0</v>
      </c>
      <c r="E4" s="3">
        <v>0</v>
      </c>
      <c r="F4" s="3">
        <v>0</v>
      </c>
      <c r="G4" s="4">
        <v>1</v>
      </c>
      <c r="H4" s="4">
        <v>0</v>
      </c>
    </row>
    <row r="5" spans="1:8" ht="20" customHeight="1" x14ac:dyDescent="0.45">
      <c r="A5" s="2" t="s">
        <v>60</v>
      </c>
      <c r="B5" s="3">
        <v>97</v>
      </c>
      <c r="C5" s="3">
        <v>97</v>
      </c>
      <c r="D5" s="3">
        <v>0</v>
      </c>
      <c r="E5" s="3">
        <v>0</v>
      </c>
      <c r="F5" s="3">
        <v>0</v>
      </c>
      <c r="G5" s="4">
        <v>1</v>
      </c>
      <c r="H5" s="4">
        <v>0</v>
      </c>
    </row>
    <row r="6" spans="1:8" ht="20" customHeight="1" x14ac:dyDescent="0.45">
      <c r="A6" s="2" t="s">
        <v>61</v>
      </c>
      <c r="B6" s="3">
        <v>97</v>
      </c>
      <c r="C6" s="3">
        <v>97</v>
      </c>
      <c r="D6" s="3">
        <v>0</v>
      </c>
      <c r="E6" s="3">
        <v>0</v>
      </c>
      <c r="F6" s="3">
        <v>0</v>
      </c>
      <c r="G6" s="4">
        <v>1</v>
      </c>
      <c r="H6" s="4">
        <v>0</v>
      </c>
    </row>
    <row r="7" spans="1:8" ht="20" customHeight="1" x14ac:dyDescent="0.45">
      <c r="A7" s="2" t="s">
        <v>62</v>
      </c>
      <c r="B7" s="3">
        <v>97</v>
      </c>
      <c r="C7" s="3">
        <v>97</v>
      </c>
      <c r="D7" s="3">
        <v>0</v>
      </c>
      <c r="E7" s="3">
        <v>0</v>
      </c>
      <c r="F7" s="3">
        <v>0</v>
      </c>
      <c r="G7" s="4">
        <v>1</v>
      </c>
      <c r="H7" s="4">
        <v>0</v>
      </c>
    </row>
    <row r="8" spans="1:8" ht="20" customHeight="1" x14ac:dyDescent="0.45">
      <c r="A8" s="2" t="s">
        <v>63</v>
      </c>
      <c r="B8" s="3">
        <v>97</v>
      </c>
      <c r="C8" s="3">
        <v>97</v>
      </c>
      <c r="D8" s="3">
        <v>0</v>
      </c>
      <c r="E8" s="3">
        <v>0</v>
      </c>
      <c r="F8" s="3">
        <v>0</v>
      </c>
      <c r="G8" s="4">
        <v>1</v>
      </c>
      <c r="H8" s="4">
        <v>0</v>
      </c>
    </row>
    <row r="9" spans="1:8" ht="20" customHeight="1" x14ac:dyDescent="0.45">
      <c r="A9" s="2" t="s">
        <v>64</v>
      </c>
      <c r="B9" s="3">
        <v>97</v>
      </c>
      <c r="C9" s="3">
        <v>97</v>
      </c>
      <c r="D9" s="3">
        <v>0</v>
      </c>
      <c r="E9" s="3">
        <v>0</v>
      </c>
      <c r="F9" s="3">
        <v>0</v>
      </c>
      <c r="G9" s="4">
        <v>1</v>
      </c>
      <c r="H9" s="4">
        <v>0</v>
      </c>
    </row>
    <row r="10" spans="1:8" ht="20" customHeight="1" x14ac:dyDescent="0.45">
      <c r="A10" s="2" t="s">
        <v>65</v>
      </c>
      <c r="B10" s="3">
        <v>97</v>
      </c>
      <c r="C10" s="3">
        <v>97</v>
      </c>
      <c r="D10" s="3">
        <v>0</v>
      </c>
      <c r="E10" s="3">
        <v>0</v>
      </c>
      <c r="F10" s="3">
        <v>0</v>
      </c>
      <c r="G10" s="4">
        <v>1</v>
      </c>
      <c r="H10" s="4">
        <v>0</v>
      </c>
    </row>
    <row r="11" spans="1:8" ht="20" customHeight="1" x14ac:dyDescent="0.45">
      <c r="A11" s="2" t="s">
        <v>66</v>
      </c>
      <c r="B11" s="3">
        <v>96</v>
      </c>
      <c r="C11" s="3">
        <v>96</v>
      </c>
      <c r="D11" s="3">
        <v>0</v>
      </c>
      <c r="E11" s="3">
        <v>0</v>
      </c>
      <c r="F11" s="3">
        <v>0</v>
      </c>
      <c r="G11" s="4">
        <v>1</v>
      </c>
      <c r="H11" s="4">
        <v>0</v>
      </c>
    </row>
    <row r="12" spans="1:8" ht="20" customHeight="1" x14ac:dyDescent="0.45">
      <c r="A12" s="2" t="s">
        <v>67</v>
      </c>
      <c r="B12" s="3">
        <v>96</v>
      </c>
      <c r="C12" s="3">
        <v>96</v>
      </c>
      <c r="D12" s="3">
        <v>0</v>
      </c>
      <c r="E12" s="3">
        <v>0</v>
      </c>
      <c r="F12" s="3">
        <v>0</v>
      </c>
      <c r="G12" s="4">
        <v>1</v>
      </c>
      <c r="H12" s="4">
        <v>0</v>
      </c>
    </row>
    <row r="13" spans="1:8" ht="20" customHeight="1" x14ac:dyDescent="0.45">
      <c r="A13" s="2" t="s">
        <v>68</v>
      </c>
      <c r="B13" s="3">
        <v>96</v>
      </c>
      <c r="C13" s="3">
        <v>96</v>
      </c>
      <c r="D13" s="3">
        <v>0</v>
      </c>
      <c r="E13" s="3">
        <v>0</v>
      </c>
      <c r="F13" s="3">
        <v>0</v>
      </c>
      <c r="G13" s="4">
        <v>1</v>
      </c>
      <c r="H13" s="4">
        <v>0</v>
      </c>
    </row>
    <row r="14" spans="1:8" ht="20" customHeight="1" x14ac:dyDescent="0.45">
      <c r="A14" s="2" t="s">
        <v>69</v>
      </c>
      <c r="B14" s="3">
        <v>97</v>
      </c>
      <c r="C14" s="3">
        <v>28</v>
      </c>
      <c r="D14" s="3">
        <v>69</v>
      </c>
      <c r="E14" s="3">
        <v>0</v>
      </c>
      <c r="F14" s="3">
        <v>0</v>
      </c>
      <c r="G14" s="4">
        <v>0.28865979381443302</v>
      </c>
      <c r="H14" s="4">
        <v>0.71134020618556704</v>
      </c>
    </row>
    <row r="15" spans="1:8" ht="20" customHeight="1" x14ac:dyDescent="0.45">
      <c r="A15" s="2" t="s">
        <v>70</v>
      </c>
      <c r="B15" s="3">
        <v>97</v>
      </c>
      <c r="C15" s="3">
        <v>97</v>
      </c>
      <c r="D15" s="3">
        <v>0</v>
      </c>
      <c r="E15" s="3">
        <v>0</v>
      </c>
      <c r="F15" s="3">
        <v>0</v>
      </c>
      <c r="G15" s="4">
        <v>1</v>
      </c>
      <c r="H15" s="4">
        <v>0</v>
      </c>
    </row>
    <row r="16" spans="1:8" ht="20" customHeight="1" x14ac:dyDescent="0.45">
      <c r="A16" s="2" t="s">
        <v>71</v>
      </c>
      <c r="B16" s="3">
        <v>97</v>
      </c>
      <c r="C16" s="3">
        <v>97</v>
      </c>
      <c r="D16" s="3">
        <v>0</v>
      </c>
      <c r="E16" s="3">
        <v>0</v>
      </c>
      <c r="F16" s="3">
        <v>0</v>
      </c>
      <c r="G16" s="4">
        <v>1</v>
      </c>
      <c r="H16" s="4">
        <v>0</v>
      </c>
    </row>
    <row r="17" spans="1:8" ht="20" customHeight="1" x14ac:dyDescent="0.45">
      <c r="A17" s="2" t="s">
        <v>72</v>
      </c>
      <c r="B17" s="3">
        <v>97</v>
      </c>
      <c r="C17" s="3">
        <v>74</v>
      </c>
      <c r="D17" s="3">
        <v>23</v>
      </c>
      <c r="E17" s="3">
        <v>0</v>
      </c>
      <c r="F17" s="3">
        <v>0</v>
      </c>
      <c r="G17" s="4">
        <v>0.76288659793814428</v>
      </c>
      <c r="H17" s="4">
        <v>0.23711340206185569</v>
      </c>
    </row>
    <row r="18" spans="1:8" ht="20" customHeight="1" x14ac:dyDescent="0.45">
      <c r="A18" s="2" t="s">
        <v>73</v>
      </c>
      <c r="B18" s="3">
        <v>97</v>
      </c>
      <c r="C18" s="3">
        <v>97</v>
      </c>
      <c r="D18" s="3">
        <v>0</v>
      </c>
      <c r="E18" s="3">
        <v>0</v>
      </c>
      <c r="F18" s="3">
        <v>0</v>
      </c>
      <c r="G18" s="4">
        <v>1</v>
      </c>
      <c r="H18" s="4">
        <v>0</v>
      </c>
    </row>
    <row r="19" spans="1:8" ht="20" customHeight="1" x14ac:dyDescent="0.45">
      <c r="A19" s="2" t="s">
        <v>74</v>
      </c>
      <c r="B19" s="3">
        <v>97</v>
      </c>
      <c r="C19" s="3">
        <v>97</v>
      </c>
      <c r="D19" s="3">
        <v>0</v>
      </c>
      <c r="E19" s="3">
        <v>0</v>
      </c>
      <c r="F19" s="3">
        <v>0</v>
      </c>
      <c r="G19" s="4">
        <v>1</v>
      </c>
      <c r="H19" s="4">
        <v>0</v>
      </c>
    </row>
    <row r="20" spans="1:8" ht="20" customHeight="1" x14ac:dyDescent="0.45">
      <c r="A20" s="2" t="s">
        <v>75</v>
      </c>
      <c r="B20" s="3">
        <v>96</v>
      </c>
      <c r="C20" s="3">
        <v>96</v>
      </c>
      <c r="D20" s="3">
        <v>0</v>
      </c>
      <c r="E20" s="3">
        <v>0</v>
      </c>
      <c r="F20" s="3">
        <v>0</v>
      </c>
      <c r="G20" s="4">
        <v>1</v>
      </c>
      <c r="H20" s="4">
        <v>0</v>
      </c>
    </row>
    <row r="21" spans="1:8" ht="20" customHeight="1" x14ac:dyDescent="0.45">
      <c r="A21" s="2" t="s">
        <v>76</v>
      </c>
      <c r="B21" s="3">
        <v>96</v>
      </c>
      <c r="C21" s="3">
        <v>96</v>
      </c>
      <c r="D21" s="3">
        <v>0</v>
      </c>
      <c r="E21" s="3">
        <v>0</v>
      </c>
      <c r="F21" s="3">
        <v>0</v>
      </c>
      <c r="G21" s="4">
        <v>1</v>
      </c>
      <c r="H21" s="4">
        <v>0</v>
      </c>
    </row>
    <row r="22" spans="1:8" ht="20" customHeight="1" x14ac:dyDescent="0.45">
      <c r="A22" s="2" t="s">
        <v>77</v>
      </c>
      <c r="B22" s="3">
        <v>96</v>
      </c>
      <c r="C22" s="3">
        <v>96</v>
      </c>
      <c r="D22" s="3">
        <v>0</v>
      </c>
      <c r="E22" s="3">
        <v>0</v>
      </c>
      <c r="F22" s="3">
        <v>0</v>
      </c>
      <c r="G22" s="4">
        <v>1</v>
      </c>
      <c r="H22" s="4">
        <v>0</v>
      </c>
    </row>
    <row r="23" spans="1:8" ht="20" customHeight="1" x14ac:dyDescent="0.45">
      <c r="A23" s="2" t="s">
        <v>78</v>
      </c>
      <c r="B23" s="3">
        <v>96</v>
      </c>
      <c r="C23" s="3">
        <v>96</v>
      </c>
      <c r="D23" s="3">
        <v>0</v>
      </c>
      <c r="E23" s="3">
        <v>0</v>
      </c>
      <c r="F23" s="3">
        <v>0</v>
      </c>
      <c r="G23" s="4">
        <v>1</v>
      </c>
      <c r="H23" s="4">
        <v>0</v>
      </c>
    </row>
    <row r="24" spans="1:8" ht="20" customHeight="1" x14ac:dyDescent="0.45">
      <c r="A24" s="2" t="s">
        <v>79</v>
      </c>
      <c r="B24" s="3">
        <v>96</v>
      </c>
      <c r="C24" s="3">
        <v>96</v>
      </c>
      <c r="D24" s="3">
        <v>0</v>
      </c>
      <c r="E24" s="3">
        <v>0</v>
      </c>
      <c r="F24" s="3">
        <v>0</v>
      </c>
      <c r="G24" s="4">
        <v>1</v>
      </c>
      <c r="H24" s="4">
        <v>0</v>
      </c>
    </row>
  </sheetData>
  <conditionalFormatting sqref="G2:G24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H2:H24">
    <cfRule type="colorScale" priority="2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J4"/>
  <sheetViews>
    <sheetView showGridLines="0" zoomScale="85" workbookViewId="0">
      <pane ySplit="1" topLeftCell="A2" activePane="bottomLeft" state="frozen"/>
      <selection pane="bottomLeft" activeCell="G3" sqref="A2:J4"/>
    </sheetView>
  </sheetViews>
  <sheetFormatPr defaultRowHeight="14.25" x14ac:dyDescent="0.45"/>
  <cols>
    <col min="1" max="1" width="12" customWidth="1"/>
    <col min="2" max="3" width="16" customWidth="1"/>
    <col min="4" max="4" width="15" customWidth="1"/>
    <col min="5" max="7" width="14" customWidth="1"/>
    <col min="8" max="8" width="20" customWidth="1"/>
    <col min="9" max="9" width="24" customWidth="1"/>
    <col min="10" max="10" width="52" customWidth="1"/>
  </cols>
  <sheetData>
    <row r="1" spans="1:10" ht="34.049999999999997" customHeight="1" x14ac:dyDescent="0.45">
      <c r="A1" s="1" t="s">
        <v>81</v>
      </c>
      <c r="B1" s="1" t="s">
        <v>82</v>
      </c>
      <c r="C1" s="1" t="s">
        <v>21</v>
      </c>
      <c r="D1" s="1" t="s">
        <v>22</v>
      </c>
      <c r="E1" s="1" t="s">
        <v>28</v>
      </c>
      <c r="F1" s="1" t="s">
        <v>29</v>
      </c>
      <c r="G1" s="1" t="s">
        <v>83</v>
      </c>
      <c r="H1" s="1" t="s">
        <v>84</v>
      </c>
      <c r="I1" s="1" t="s">
        <v>31</v>
      </c>
      <c r="J1" s="1" t="s">
        <v>34</v>
      </c>
    </row>
    <row r="2" spans="1:10" ht="20" customHeight="1" x14ac:dyDescent="0.45">
      <c r="A2" s="2" t="s">
        <v>25</v>
      </c>
      <c r="B2" s="3">
        <v>902</v>
      </c>
      <c r="C2" s="3">
        <v>64</v>
      </c>
      <c r="D2" s="3">
        <v>224</v>
      </c>
      <c r="E2" s="3">
        <v>797</v>
      </c>
      <c r="F2" s="3">
        <v>105</v>
      </c>
      <c r="G2" s="3">
        <v>611</v>
      </c>
      <c r="H2" s="4">
        <v>0.67738359201773835</v>
      </c>
      <c r="I2" s="3">
        <v>6.3902439024390247</v>
      </c>
      <c r="J2" s="3">
        <v>151.84146341463409</v>
      </c>
    </row>
    <row r="3" spans="1:10" ht="20" customHeight="1" x14ac:dyDescent="0.45">
      <c r="A3" s="2" t="s">
        <v>26</v>
      </c>
      <c r="B3" s="3">
        <v>124</v>
      </c>
      <c r="C3" s="3">
        <v>8</v>
      </c>
      <c r="D3" s="3">
        <v>28</v>
      </c>
      <c r="E3" s="3">
        <v>110</v>
      </c>
      <c r="F3" s="3">
        <v>14</v>
      </c>
      <c r="G3" s="3">
        <v>107</v>
      </c>
      <c r="H3" s="4">
        <v>0.86290322580645162</v>
      </c>
      <c r="I3" s="3">
        <v>6.419354838709677</v>
      </c>
      <c r="J3" s="3">
        <v>166.0322580645161</v>
      </c>
    </row>
    <row r="4" spans="1:10" ht="20" customHeight="1" x14ac:dyDescent="0.45">
      <c r="A4" s="2" t="s">
        <v>27</v>
      </c>
      <c r="B4" s="3">
        <v>114</v>
      </c>
      <c r="C4" s="3">
        <v>8</v>
      </c>
      <c r="D4" s="3">
        <v>28</v>
      </c>
      <c r="E4" s="3">
        <v>105</v>
      </c>
      <c r="F4" s="3">
        <v>9</v>
      </c>
      <c r="G4" s="3">
        <v>88</v>
      </c>
      <c r="H4" s="4">
        <v>0.77192982456140347</v>
      </c>
      <c r="I4" s="3">
        <v>6.5438596491228074</v>
      </c>
      <c r="J4" s="3">
        <v>153.13157894736841</v>
      </c>
    </row>
  </sheetData>
  <conditionalFormatting sqref="H2:H4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landscape"/>
  <headerFooter>
    <oddFooter>&amp;CPage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  <pageSetUpPr fitToPage="1"/>
  </sheetPr>
  <dimension ref="A1:F7"/>
  <sheetViews>
    <sheetView showGridLines="0" zoomScale="85" workbookViewId="0">
      <pane ySplit="1" topLeftCell="A2" activePane="bottomLeft" state="frozen"/>
      <selection pane="bottomLeft" activeCell="G20" sqref="G20"/>
    </sheetView>
  </sheetViews>
  <sheetFormatPr defaultRowHeight="14.25" x14ac:dyDescent="0.45"/>
  <cols>
    <col min="1" max="1" width="23" customWidth="1"/>
    <col min="2" max="2" width="12" customWidth="1"/>
    <col min="3" max="3" width="22" customWidth="1"/>
    <col min="4" max="4" width="16" customWidth="1"/>
    <col min="5" max="5" width="18" customWidth="1"/>
    <col min="6" max="6" width="22" customWidth="1"/>
  </cols>
  <sheetData>
    <row r="1" spans="1:6" ht="34.049999999999997" customHeight="1" x14ac:dyDescent="0.45">
      <c r="A1" s="1" t="s">
        <v>85</v>
      </c>
      <c r="B1" s="1" t="s">
        <v>49</v>
      </c>
      <c r="C1" s="1" t="s">
        <v>86</v>
      </c>
      <c r="D1" s="1" t="s">
        <v>80</v>
      </c>
      <c r="E1" s="1" t="s">
        <v>87</v>
      </c>
      <c r="F1" s="1" t="s">
        <v>88</v>
      </c>
    </row>
    <row r="2" spans="1:6" ht="20" customHeight="1" x14ac:dyDescent="0.45">
      <c r="A2" s="2" t="s">
        <v>89</v>
      </c>
      <c r="B2" s="3">
        <v>1140</v>
      </c>
      <c r="C2" s="3">
        <v>0</v>
      </c>
      <c r="D2" s="3">
        <v>0</v>
      </c>
      <c r="E2" s="3">
        <v>1140</v>
      </c>
      <c r="F2" s="4">
        <v>1</v>
      </c>
    </row>
    <row r="3" spans="1:6" ht="20" customHeight="1" x14ac:dyDescent="0.45">
      <c r="A3" s="2" t="s">
        <v>90</v>
      </c>
      <c r="B3" s="3">
        <v>1040</v>
      </c>
      <c r="C3" s="3">
        <v>100</v>
      </c>
      <c r="D3" s="3">
        <v>0</v>
      </c>
      <c r="E3" s="3">
        <v>1140</v>
      </c>
      <c r="F3" s="4">
        <v>0.91228070175438591</v>
      </c>
    </row>
    <row r="4" spans="1:6" ht="20" customHeight="1" x14ac:dyDescent="0.45">
      <c r="A4" s="2" t="s">
        <v>91</v>
      </c>
      <c r="B4" s="3">
        <v>148</v>
      </c>
      <c r="C4" s="3">
        <v>0</v>
      </c>
      <c r="D4" s="3">
        <v>992</v>
      </c>
      <c r="E4" s="3">
        <v>148</v>
      </c>
      <c r="F4" s="4">
        <v>1</v>
      </c>
    </row>
    <row r="5" spans="1:6" ht="20" customHeight="1" x14ac:dyDescent="0.45">
      <c r="A5" s="2" t="s">
        <v>92</v>
      </c>
      <c r="B5" s="3">
        <v>148</v>
      </c>
      <c r="C5" s="3">
        <v>0</v>
      </c>
      <c r="D5" s="3">
        <v>992</v>
      </c>
      <c r="E5" s="3">
        <v>148</v>
      </c>
      <c r="F5" s="4">
        <v>1</v>
      </c>
    </row>
    <row r="6" spans="1:6" ht="20" customHeight="1" x14ac:dyDescent="0.45">
      <c r="A6" s="2" t="s">
        <v>93</v>
      </c>
      <c r="B6" s="3">
        <v>1085</v>
      </c>
      <c r="C6" s="3">
        <v>55</v>
      </c>
      <c r="D6" s="3">
        <v>0</v>
      </c>
      <c r="E6" s="3">
        <v>1140</v>
      </c>
      <c r="F6" s="4">
        <v>0.95175438596491224</v>
      </c>
    </row>
    <row r="7" spans="1:6" ht="20" customHeight="1" x14ac:dyDescent="0.45">
      <c r="A7" s="2" t="s">
        <v>94</v>
      </c>
      <c r="B7" s="3">
        <v>1012</v>
      </c>
      <c r="C7" s="3">
        <v>128</v>
      </c>
      <c r="D7" s="3">
        <v>0</v>
      </c>
      <c r="E7" s="3">
        <v>1140</v>
      </c>
      <c r="F7" s="4">
        <v>0.88771929824561402</v>
      </c>
    </row>
  </sheetData>
  <conditionalFormatting sqref="F2:F7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Overview</vt:lpstr>
      <vt:lpstr>Dataset Sources</vt:lpstr>
      <vt:lpstr>Constraint Types</vt:lpstr>
      <vt:lpstr>Constraint Outcomes</vt:lpstr>
      <vt:lpstr>Rule Outcomes</vt:lpstr>
      <vt:lpstr>Split Statistics</vt:lpstr>
      <vt:lpstr>Quality Statistics</vt:lpstr>
      <vt:lpstr>'Constraint Outcomes'!Print_Titles</vt:lpstr>
      <vt:lpstr>'Constraint Types'!Print_Titles</vt:lpstr>
      <vt:lpstr>'Dataset Sources'!Print_Titles</vt:lpstr>
      <vt:lpstr>'Quality Statistics'!Print_Titles</vt:lpstr>
      <vt:lpstr>'Rule Outcomes'!Print_Titles</vt:lpstr>
      <vt:lpstr>'Split Statistics'!Print_Titles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Task 1 Teacher Trace Data Statistics</dc:title>
  <dc:subject>Task 1.9 data statistics tables</dc:subject>
  <dc:creator>openpyxl</dc:creator>
  <cp:lastModifiedBy>NIGGABALLS</cp:lastModifiedBy>
  <dcterms:created xsi:type="dcterms:W3CDTF">2026-07-24T15:00:46Z</dcterms:created>
  <dcterms:modified xsi:type="dcterms:W3CDTF">2026-07-29T13:42:46Z</dcterms:modified>
</cp:coreProperties>
</file>